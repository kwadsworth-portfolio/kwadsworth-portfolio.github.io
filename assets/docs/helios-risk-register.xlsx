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dsw\Downloads\grc_artifact_pack\"/>
    </mc:Choice>
  </mc:AlternateContent>
  <xr:revisionPtr revIDLastSave="0" documentId="8_{17CACE7E-E80C-4EA6-9B92-B34394AE99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isk Register" sheetId="1" r:id="rId1"/>
    <sheet name="Document Info" sheetId="2" r:id="rId2"/>
    <sheet name="Scoring Gui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J15" i="1"/>
  <c r="K15" i="1" s="1"/>
  <c r="J14" i="1"/>
  <c r="K14" i="1" s="1"/>
  <c r="J13" i="1"/>
  <c r="K13" i="1" s="1"/>
  <c r="J12" i="1"/>
  <c r="K12" i="1" s="1"/>
  <c r="J11" i="1"/>
  <c r="K11" i="1" s="1"/>
  <c r="J10" i="1"/>
  <c r="J9" i="1"/>
  <c r="K9" i="1" s="1"/>
</calcChain>
</file>

<file path=xl/sharedStrings.xml><?xml version="1.0" encoding="utf-8"?>
<sst xmlns="http://schemas.openxmlformats.org/spreadsheetml/2006/main" count="197" uniqueCount="152">
  <si>
    <t>Risk ID</t>
  </si>
  <si>
    <t>Risk Title</t>
  </si>
  <si>
    <t>Asset / Process</t>
  </si>
  <si>
    <t>Risk Category</t>
  </si>
  <si>
    <t>Threat Event</t>
  </si>
  <si>
    <t>Vulnerability / Cause</t>
  </si>
  <si>
    <t>Business Impact</t>
  </si>
  <si>
    <t>Likelihood (1-5)</t>
  </si>
  <si>
    <t>Impact (1-5)</t>
  </si>
  <si>
    <t>Inherent Score</t>
  </si>
  <si>
    <t>Risk Rating</t>
  </si>
  <si>
    <t>Existing Controls</t>
  </si>
  <si>
    <t>Treatment Plan</t>
  </si>
  <si>
    <t>Risk Owner</t>
  </si>
  <si>
    <t>Target Date</t>
  </si>
  <si>
    <t>Status</t>
  </si>
  <si>
    <t>Residual Score</t>
  </si>
  <si>
    <t>Evidence Link</t>
  </si>
  <si>
    <t>Notes</t>
  </si>
  <si>
    <t>R-001</t>
  </si>
  <si>
    <t>Public storage exposure</t>
  </si>
  <si>
    <t>Azure Storage Account</t>
  </si>
  <si>
    <t>Data Protection</t>
  </si>
  <si>
    <t>Unauthorised disclosure of data</t>
  </si>
  <si>
    <t>Public blob access enabled or misconfigured container permissions</t>
  </si>
  <si>
    <t>Potential disclosure of sensitive information, regulatory exposure and reputational damage</t>
  </si>
  <si>
    <t>Azure Policy; storage configuration review; Resource Graph query</t>
  </si>
  <si>
    <t>Disable public access, verify container permissions and monitor for drift</t>
  </si>
  <si>
    <t>Cloud Platform Owner</t>
  </si>
  <si>
    <t>2026-05-15</t>
  </si>
  <si>
    <t>Open</t>
  </si>
  <si>
    <t>azure-governance-evidence.html</t>
  </si>
  <si>
    <t>High-priority evidence of cloud exposure risk.</t>
  </si>
  <si>
    <t>R-002</t>
  </si>
  <si>
    <t>Unrestricted network access</t>
  </si>
  <si>
    <t>Network Security Group</t>
  </si>
  <si>
    <t>Network Security</t>
  </si>
  <si>
    <t>Brute-force or unauthorised inbound access</t>
  </si>
  <si>
    <t>Inbound rule allows broad access from the internet</t>
  </si>
  <si>
    <t>Increased attack surface and potential compromise of workloads</t>
  </si>
  <si>
    <t>NSG rules; management access review</t>
  </si>
  <si>
    <t>Restrict inbound access to trusted ranges and document approved management paths</t>
  </si>
  <si>
    <t>Security Owner</t>
  </si>
  <si>
    <t>2026-05-20</t>
  </si>
  <si>
    <t>Demonstrates risk-based network control thinking.</t>
  </si>
  <si>
    <t>R-003</t>
  </si>
  <si>
    <t>Deployment outside approved region</t>
  </si>
  <si>
    <t>Azure Resource Deployment</t>
  </si>
  <si>
    <t>Compliance / Data Residency</t>
  </si>
  <si>
    <t>Resource created outside approved geography</t>
  </si>
  <si>
    <t>Allowed location control not followed or exception not approved</t>
  </si>
  <si>
    <t>Potential data residency or governance breach and inconsistent control enforcement</t>
  </si>
  <si>
    <t>Allowed locations policy; subscription-level governance baseline</t>
  </si>
  <si>
    <t>Restrict deployments to UK South / UK West; use formal exception where justified</t>
  </si>
  <si>
    <t>Cloud Governance Owner</t>
  </si>
  <si>
    <t>2026-05-10</t>
  </si>
  <si>
    <t>In Progress</t>
  </si>
  <si>
    <t>Shows regional governance and policy enforcement.</t>
  </si>
  <si>
    <t>R-004</t>
  </si>
  <si>
    <t>Missing resource ownership tag</t>
  </si>
  <si>
    <t>Azure Resource Inventory</t>
  </si>
  <si>
    <t>Governance / Accountability</t>
  </si>
  <si>
    <t>Delayed remediation during incident or audit</t>
  </si>
  <si>
    <t>Owner tag missing or inconsistent across resources</t>
  </si>
  <si>
    <t>Weak accountability, poor cost ownership and slower remediation</t>
  </si>
  <si>
    <t>Mandatory Owner tag policy; resource inventory review</t>
  </si>
  <si>
    <t>Enforce Owner tag, remediate non-compliant resources and review exceptions</t>
  </si>
  <si>
    <t>Resource Owner</t>
  </si>
  <si>
    <t>2026-05-05</t>
  </si>
  <si>
    <t>Useful for showing GRC operating model.</t>
  </si>
  <si>
    <t>R-005</t>
  </si>
  <si>
    <t>Insufficient compliance evidence</t>
  </si>
  <si>
    <t>Monitoring &amp; Evidence Repository</t>
  </si>
  <si>
    <t>Audit / Assurance</t>
  </si>
  <si>
    <t>Inability to prove control operation during review</t>
  </si>
  <si>
    <t>Evidence capture not consistent or not retained centrally</t>
  </si>
  <si>
    <t>Reduced audit readiness and limited assurance over control effectiveness</t>
  </si>
  <si>
    <t>Azure Storage evidence repository; screenshots; policy outputs</t>
  </si>
  <si>
    <t>Automate evidence capture using scheduled reports and define retention period</t>
  </si>
  <si>
    <t>GRC Owner</t>
  </si>
  <si>
    <t>2026-05-30</t>
  </si>
  <si>
    <t>Shows evidence-based compliance mindset.</t>
  </si>
  <si>
    <t>R-006</t>
  </si>
  <si>
    <t>Manual compliance monitoring</t>
  </si>
  <si>
    <t>Compliance Monitoring Process</t>
  </si>
  <si>
    <t>Operational Resilience</t>
  </si>
  <si>
    <t>Governance drift goes undetected</t>
  </si>
  <si>
    <t>Manual reviews are inconsistent and not time-bound</t>
  </si>
  <si>
    <t>Non-compliance could persist without timely detection</t>
  </si>
  <si>
    <t>Timer-triggered Azure Function; Resource Graph queries</t>
  </si>
  <si>
    <t>Schedule recurring checks and route exceptions into risk review process</t>
  </si>
  <si>
    <t>2026-06-15</t>
  </si>
  <si>
    <t>Supports automation capability.</t>
  </si>
  <si>
    <t>R-007</t>
  </si>
  <si>
    <t>Privileged access not reviewed</t>
  </si>
  <si>
    <t>Azure RBAC / IAM</t>
  </si>
  <si>
    <t>Access Control</t>
  </si>
  <si>
    <t>Excessive privilege or orphaned access remains active</t>
  </si>
  <si>
    <t>Role assignments not reviewed regularly</t>
  </si>
  <si>
    <t>Unauthorised changes or elevated access beyond business need</t>
  </si>
  <si>
    <t>RBAC; managed identity; least privilege review</t>
  </si>
  <si>
    <t>Perform quarterly access review and remove unused elevated access</t>
  </si>
  <si>
    <t>2026-06-30</t>
  </si>
  <si>
    <t>Planned</t>
  </si>
  <si>
    <t>Relevant for ISO access control mapping.</t>
  </si>
  <si>
    <t>Document</t>
  </si>
  <si>
    <t>Helios Energy Analytics – Cybersecurity Risk Register</t>
  </si>
  <si>
    <t>Purpose</t>
  </si>
  <si>
    <t>Portfolio artefact demonstrating risk identification, scoring, ownership, treatment planning and evidence traceability for the Azure Cloud Governance case study.</t>
  </si>
  <si>
    <t>Owner</t>
  </si>
  <si>
    <t>Kevin Wadsworth</t>
  </si>
  <si>
    <t>Version</t>
  </si>
  <si>
    <t>1.2</t>
  </si>
  <si>
    <t>Draft for portfolio evidence</t>
  </si>
  <si>
    <t>Last Updated</t>
  </si>
  <si>
    <t>2026-04-29</t>
  </si>
  <si>
    <t>Framework Alignment</t>
  </si>
  <si>
    <t>ISO 27001 / NIST CSF</t>
  </si>
  <si>
    <t>Project</t>
  </si>
  <si>
    <t>Helios Azure Cloud Governance</t>
  </si>
  <si>
    <t>Review Cycle</t>
  </si>
  <si>
    <t>Monthly</t>
  </si>
  <si>
    <t>Classification</t>
  </si>
  <si>
    <t>Internal / Portfolio</t>
  </si>
  <si>
    <t>Score Area</t>
  </si>
  <si>
    <t>Scale</t>
  </si>
  <si>
    <t>Description</t>
  </si>
  <si>
    <t>Likelihood</t>
  </si>
  <si>
    <t>1</t>
  </si>
  <si>
    <t>Rare / unlikely</t>
  </si>
  <si>
    <t>2</t>
  </si>
  <si>
    <t>Possible but not expected</t>
  </si>
  <si>
    <t>3</t>
  </si>
  <si>
    <t>Reasonably possible</t>
  </si>
  <si>
    <t>4</t>
  </si>
  <si>
    <t>Likely</t>
  </si>
  <si>
    <t>5</t>
  </si>
  <si>
    <t>Almost certain</t>
  </si>
  <si>
    <t>Impact</t>
  </si>
  <si>
    <t>Minor operational impact</t>
  </si>
  <si>
    <t>Limited business impact</t>
  </si>
  <si>
    <t>Moderate business impact</t>
  </si>
  <si>
    <t>Major business, compliance or operational impact</t>
  </si>
  <si>
    <t>Severe regulatory, financial or reputational impact</t>
  </si>
  <si>
    <t>Low</t>
  </si>
  <si>
    <t>1–7</t>
  </si>
  <si>
    <t>Medium</t>
  </si>
  <si>
    <t>8–15</t>
  </si>
  <si>
    <t>High</t>
  </si>
  <si>
    <t>16–25</t>
  </si>
  <si>
    <t>Document Owner</t>
  </si>
  <si>
    <t>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</si>
</sst>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sz val="10"/>
      <color rgb="FF1F2937"/>
      <name val="Calibri"/>
    </font>
    <font>
      <b/>
      <sz val="10"/>
      <color rgb="FF0F172A"/>
      <name val="Calibri"/>
    </font>
    <font>
      <sz val="10"/>
      <name val="Calibri"/>
    </font>
    <font>
      <b/>
      <sz val="10"/>
      <name val="Calibri"/>
    </font>
    <font>
      <b/>
      <sz val="16"/>
      <color rgb="FF1F2937"/>
      <name val="Carlito"/>
    </font>
    <font>
      <sz val="10"/>
      <color rgb="FF4B5563"/>
      <name val="Carlito"/>
    </font>
    <font>
      <b/>
      <sz val="10"/>
      <name val="Carlito"/>
    </font>
    <font>
      <sz val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EEF6FC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A7C7E7"/>
      </left>
      <right style="thin">
        <color rgb="FFA7C7E7"/>
      </right>
      <top style="thin">
        <color rgb="FFA7C7E7"/>
      </top>
      <bottom style="thin">
        <color rgb="FFA7C7E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6">
    <dxf>
      <font>
        <b/>
        <i val="0"/>
        <color rgb="FFFFC000"/>
      </font>
    </dxf>
    <dxf>
      <font>
        <b/>
        <i val="0"/>
        <color rgb="FF92D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"/>
  <sheetViews>
    <sheetView tabSelected="1" topLeftCell="A2" workbookViewId="0">
      <selection activeCell="K10" sqref="K10"/>
    </sheetView>
  </sheetViews>
  <sheetFormatPr defaultColWidth="17.75" defaultRowHeight="14"/>
  <cols>
    <col min="1" max="1" width="11.08203125" customWidth="1"/>
    <col min="2" max="2" width="9.1640625" customWidth="1"/>
    <col min="4" max="4" width="14.6640625" customWidth="1"/>
    <col min="5" max="5" width="17.6640625" customWidth="1"/>
    <col min="7" max="7" width="20.4140625" customWidth="1"/>
    <col min="8" max="8" width="13.4140625" customWidth="1"/>
    <col min="13" max="13" width="22.75" customWidth="1"/>
  </cols>
  <sheetData>
    <row r="1" spans="1:19" ht="40" customHeight="1">
      <c r="A1" s="10" t="s">
        <v>106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ht="35" customHeight="1">
      <c r="A2" s="11" t="s">
        <v>108</v>
      </c>
      <c r="B2" s="11"/>
      <c r="C2" s="11"/>
      <c r="D2" s="11"/>
      <c r="E2" s="7"/>
      <c r="F2" s="7"/>
      <c r="G2" s="7"/>
      <c r="H2" s="7"/>
    </row>
    <row r="4" spans="1:19" ht="39">
      <c r="A4" s="8" t="s">
        <v>150</v>
      </c>
      <c r="B4" s="9" t="s">
        <v>110</v>
      </c>
      <c r="C4" s="8" t="s">
        <v>111</v>
      </c>
      <c r="D4" s="9" t="s">
        <v>151</v>
      </c>
      <c r="E4" s="8" t="s">
        <v>15</v>
      </c>
      <c r="F4" s="9" t="s">
        <v>113</v>
      </c>
      <c r="G4" s="8" t="s">
        <v>114</v>
      </c>
      <c r="H4" s="9" t="s">
        <v>115</v>
      </c>
    </row>
    <row r="5" spans="1:19" ht="52">
      <c r="A5" s="8" t="s">
        <v>116</v>
      </c>
      <c r="B5" s="9" t="s">
        <v>117</v>
      </c>
      <c r="C5" s="8" t="s">
        <v>118</v>
      </c>
      <c r="D5" s="9" t="s">
        <v>119</v>
      </c>
      <c r="E5" s="8" t="s">
        <v>120</v>
      </c>
      <c r="F5" s="9" t="s">
        <v>121</v>
      </c>
      <c r="G5" s="8" t="s">
        <v>122</v>
      </c>
      <c r="H5" s="9" t="s">
        <v>123</v>
      </c>
    </row>
    <row r="8" spans="1:19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Q8" s="1" t="s">
        <v>16</v>
      </c>
      <c r="R8" s="1" t="s">
        <v>17</v>
      </c>
      <c r="S8" s="1" t="s">
        <v>18</v>
      </c>
    </row>
    <row r="9" spans="1:19" ht="52">
      <c r="A9" s="6" t="s">
        <v>19</v>
      </c>
      <c r="B9" s="2" t="s">
        <v>20</v>
      </c>
      <c r="C9" s="2" t="s">
        <v>21</v>
      </c>
      <c r="D9" s="2" t="s">
        <v>22</v>
      </c>
      <c r="E9" s="2" t="s">
        <v>23</v>
      </c>
      <c r="F9" s="2" t="s">
        <v>24</v>
      </c>
      <c r="G9" s="2" t="s">
        <v>25</v>
      </c>
      <c r="H9" s="6">
        <v>4</v>
      </c>
      <c r="I9" s="6">
        <v>5</v>
      </c>
      <c r="J9" s="6">
        <f t="shared" ref="J9:J15" si="0">H9*I9</f>
        <v>20</v>
      </c>
      <c r="K9" s="6" t="str">
        <f t="shared" ref="K9:K15" si="1">IF(J9&gt;=16,"High",IF(J9&gt;=8,"Medium","Low"))</f>
        <v>High</v>
      </c>
      <c r="L9" s="2" t="s">
        <v>26</v>
      </c>
      <c r="M9" s="2" t="s">
        <v>27</v>
      </c>
      <c r="N9" s="2" t="s">
        <v>28</v>
      </c>
      <c r="O9" s="2" t="s">
        <v>29</v>
      </c>
      <c r="P9" s="2" t="s">
        <v>30</v>
      </c>
      <c r="Q9" s="2">
        <v>8</v>
      </c>
      <c r="R9" s="2" t="s">
        <v>31</v>
      </c>
      <c r="S9" s="2" t="s">
        <v>32</v>
      </c>
    </row>
    <row r="10" spans="1:19" ht="39">
      <c r="A10" s="6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38</v>
      </c>
      <c r="G10" s="2" t="s">
        <v>39</v>
      </c>
      <c r="H10" s="6">
        <v>4</v>
      </c>
      <c r="I10" s="6">
        <v>5</v>
      </c>
      <c r="J10" s="6">
        <f t="shared" si="0"/>
        <v>20</v>
      </c>
      <c r="K10" s="6" t="str">
        <f t="shared" si="1"/>
        <v>High</v>
      </c>
      <c r="L10" s="2" t="s">
        <v>40</v>
      </c>
      <c r="M10" s="2" t="s">
        <v>41</v>
      </c>
      <c r="N10" s="2" t="s">
        <v>42</v>
      </c>
      <c r="O10" s="2" t="s">
        <v>43</v>
      </c>
      <c r="P10" s="2" t="s">
        <v>30</v>
      </c>
      <c r="Q10" s="2">
        <v>10</v>
      </c>
      <c r="R10" s="2" t="s">
        <v>31</v>
      </c>
      <c r="S10" s="2" t="s">
        <v>44</v>
      </c>
    </row>
    <row r="11" spans="1:19" ht="52">
      <c r="A11" s="6" t="s">
        <v>45</v>
      </c>
      <c r="B11" s="2" t="s">
        <v>46</v>
      </c>
      <c r="C11" s="2" t="s">
        <v>47</v>
      </c>
      <c r="D11" s="2" t="s">
        <v>48</v>
      </c>
      <c r="E11" s="2" t="s">
        <v>49</v>
      </c>
      <c r="F11" s="2" t="s">
        <v>50</v>
      </c>
      <c r="G11" s="2" t="s">
        <v>51</v>
      </c>
      <c r="H11" s="6">
        <v>3</v>
      </c>
      <c r="I11" s="6">
        <v>4</v>
      </c>
      <c r="J11" s="6">
        <f t="shared" si="0"/>
        <v>12</v>
      </c>
      <c r="K11" s="6" t="str">
        <f t="shared" si="1"/>
        <v>Medium</v>
      </c>
      <c r="L11" s="2" t="s">
        <v>52</v>
      </c>
      <c r="M11" s="2" t="s">
        <v>53</v>
      </c>
      <c r="N11" s="2" t="s">
        <v>54</v>
      </c>
      <c r="O11" s="2" t="s">
        <v>55</v>
      </c>
      <c r="P11" s="2" t="s">
        <v>56</v>
      </c>
      <c r="Q11" s="2">
        <v>6</v>
      </c>
      <c r="R11" s="2" t="s">
        <v>31</v>
      </c>
      <c r="S11" s="2" t="s">
        <v>57</v>
      </c>
    </row>
    <row r="12" spans="1:19" ht="52">
      <c r="A12" s="6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s">
        <v>63</v>
      </c>
      <c r="G12" s="2" t="s">
        <v>64</v>
      </c>
      <c r="H12" s="6">
        <v>3</v>
      </c>
      <c r="I12" s="6">
        <v>3</v>
      </c>
      <c r="J12" s="6">
        <f t="shared" si="0"/>
        <v>9</v>
      </c>
      <c r="K12" s="6" t="str">
        <f t="shared" si="1"/>
        <v>Medium</v>
      </c>
      <c r="L12" s="2" t="s">
        <v>65</v>
      </c>
      <c r="M12" s="2" t="s">
        <v>66</v>
      </c>
      <c r="N12" s="2" t="s">
        <v>67</v>
      </c>
      <c r="O12" s="2" t="s">
        <v>68</v>
      </c>
      <c r="P12" s="2" t="s">
        <v>56</v>
      </c>
      <c r="Q12" s="2">
        <v>4</v>
      </c>
      <c r="R12" s="2" t="s">
        <v>31</v>
      </c>
      <c r="S12" s="2" t="s">
        <v>69</v>
      </c>
    </row>
    <row r="13" spans="1:19" ht="39">
      <c r="A13" s="6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76</v>
      </c>
      <c r="H13" s="6">
        <v>2</v>
      </c>
      <c r="I13" s="6">
        <v>4</v>
      </c>
      <c r="J13" s="6">
        <f t="shared" si="0"/>
        <v>8</v>
      </c>
      <c r="K13" s="6" t="str">
        <f t="shared" si="1"/>
        <v>Medium</v>
      </c>
      <c r="L13" s="2" t="s">
        <v>77</v>
      </c>
      <c r="M13" s="2" t="s">
        <v>78</v>
      </c>
      <c r="N13" s="2" t="s">
        <v>79</v>
      </c>
      <c r="O13" s="2" t="s">
        <v>80</v>
      </c>
      <c r="P13" s="2" t="s">
        <v>30</v>
      </c>
      <c r="Q13" s="2">
        <v>5</v>
      </c>
      <c r="R13" s="2" t="s">
        <v>31</v>
      </c>
      <c r="S13" s="2" t="s">
        <v>81</v>
      </c>
    </row>
    <row r="14" spans="1:19" ht="39">
      <c r="A14" s="6" t="s">
        <v>82</v>
      </c>
      <c r="B14" s="2" t="s">
        <v>83</v>
      </c>
      <c r="C14" s="2" t="s">
        <v>84</v>
      </c>
      <c r="D14" s="2" t="s">
        <v>85</v>
      </c>
      <c r="E14" s="2" t="s">
        <v>86</v>
      </c>
      <c r="F14" s="2" t="s">
        <v>87</v>
      </c>
      <c r="G14" s="2" t="s">
        <v>88</v>
      </c>
      <c r="H14" s="6">
        <v>3</v>
      </c>
      <c r="I14" s="6">
        <v>4</v>
      </c>
      <c r="J14" s="6">
        <f t="shared" si="0"/>
        <v>12</v>
      </c>
      <c r="K14" s="6" t="str">
        <f t="shared" si="1"/>
        <v>Medium</v>
      </c>
      <c r="L14" s="2" t="s">
        <v>89</v>
      </c>
      <c r="M14" s="2" t="s">
        <v>90</v>
      </c>
      <c r="N14" s="2" t="s">
        <v>79</v>
      </c>
      <c r="O14" s="2" t="s">
        <v>91</v>
      </c>
      <c r="P14" s="2" t="s">
        <v>56</v>
      </c>
      <c r="Q14" s="2">
        <v>6</v>
      </c>
      <c r="R14" s="2" t="s">
        <v>31</v>
      </c>
      <c r="S14" s="2" t="s">
        <v>92</v>
      </c>
    </row>
    <row r="15" spans="1:19" ht="39">
      <c r="A15" s="6" t="s">
        <v>93</v>
      </c>
      <c r="B15" s="2" t="s">
        <v>94</v>
      </c>
      <c r="C15" s="2" t="s">
        <v>95</v>
      </c>
      <c r="D15" s="2" t="s">
        <v>96</v>
      </c>
      <c r="E15" s="2" t="s">
        <v>97</v>
      </c>
      <c r="F15" s="2" t="s">
        <v>98</v>
      </c>
      <c r="G15" s="2" t="s">
        <v>99</v>
      </c>
      <c r="H15" s="6">
        <v>3</v>
      </c>
      <c r="I15" s="6">
        <v>5</v>
      </c>
      <c r="J15" s="6">
        <f t="shared" si="0"/>
        <v>15</v>
      </c>
      <c r="K15" s="6" t="str">
        <f t="shared" si="1"/>
        <v>Medium</v>
      </c>
      <c r="L15" s="2" t="s">
        <v>100</v>
      </c>
      <c r="M15" s="2" t="s">
        <v>101</v>
      </c>
      <c r="N15" s="2" t="s">
        <v>42</v>
      </c>
      <c r="O15" s="2" t="s">
        <v>102</v>
      </c>
      <c r="P15" s="2" t="s">
        <v>103</v>
      </c>
      <c r="Q15" s="2">
        <v>9</v>
      </c>
      <c r="R15" s="2" t="s">
        <v>31</v>
      </c>
      <c r="S15" s="2" t="s">
        <v>104</v>
      </c>
    </row>
  </sheetData>
  <mergeCells count="2">
    <mergeCell ref="A1:S1"/>
    <mergeCell ref="A2:D2"/>
  </mergeCells>
  <conditionalFormatting sqref="K9:K10">
    <cfRule type="containsText" dxfId="4" priority="3" operator="containsText" text="High">
      <formula>NOT(ISERROR(SEARCH("High",K9)))</formula>
    </cfRule>
  </conditionalFormatting>
  <conditionalFormatting sqref="K9:K15">
    <cfRule type="containsText" dxfId="0" priority="2" operator="containsText" text="Medium">
      <formula>NOT(ISERROR(SEARCH("Medium",K9)))</formula>
    </cfRule>
    <cfRule type="containsText" dxfId="1" priority="1" operator="containsText" text="Low">
      <formula>NOT(ISERROR(SEARCH("Low",K9)))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"/>
  <cols>
    <col min="1" max="1" width="17.58203125" customWidth="1"/>
    <col min="2" max="2" width="123.58203125" customWidth="1"/>
  </cols>
  <sheetData>
    <row r="1" spans="1:2">
      <c r="A1" s="4" t="s">
        <v>105</v>
      </c>
      <c r="B1" s="3" t="s">
        <v>106</v>
      </c>
    </row>
    <row r="2" spans="1:2">
      <c r="A2" s="4" t="s">
        <v>107</v>
      </c>
      <c r="B2" s="3" t="s">
        <v>108</v>
      </c>
    </row>
    <row r="3" spans="1:2">
      <c r="A3" s="4" t="s">
        <v>109</v>
      </c>
      <c r="B3" s="3" t="s">
        <v>110</v>
      </c>
    </row>
    <row r="4" spans="1:2">
      <c r="A4" s="4" t="s">
        <v>111</v>
      </c>
      <c r="B4" s="3" t="s">
        <v>112</v>
      </c>
    </row>
    <row r="5" spans="1:2">
      <c r="A5" s="4" t="s">
        <v>15</v>
      </c>
      <c r="B5" s="3" t="s">
        <v>113</v>
      </c>
    </row>
    <row r="6" spans="1:2">
      <c r="A6" s="4" t="s">
        <v>114</v>
      </c>
      <c r="B6" s="3" t="s">
        <v>115</v>
      </c>
    </row>
    <row r="7" spans="1:2">
      <c r="A7" s="4" t="s">
        <v>116</v>
      </c>
      <c r="B7" s="3" t="s">
        <v>117</v>
      </c>
    </row>
    <row r="8" spans="1:2">
      <c r="A8" s="4" t="s">
        <v>118</v>
      </c>
      <c r="B8" s="3" t="s">
        <v>119</v>
      </c>
    </row>
    <row r="9" spans="1:2">
      <c r="A9" s="4" t="s">
        <v>120</v>
      </c>
      <c r="B9" s="3" t="s">
        <v>121</v>
      </c>
    </row>
    <row r="10" spans="1:2">
      <c r="A10" s="4" t="s">
        <v>122</v>
      </c>
      <c r="B10" s="3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/>
  </sheetViews>
  <sheetFormatPr defaultRowHeight="14"/>
  <cols>
    <col min="1" max="1" width="8.4140625" customWidth="1"/>
    <col min="2" max="2" width="6.4140625" customWidth="1"/>
    <col min="3" max="3" width="38.58203125" customWidth="1"/>
  </cols>
  <sheetData>
    <row r="1" spans="1:3">
      <c r="A1" s="5" t="s">
        <v>124</v>
      </c>
      <c r="B1" s="5" t="s">
        <v>125</v>
      </c>
      <c r="C1" s="5" t="s">
        <v>126</v>
      </c>
    </row>
    <row r="2" spans="1:3">
      <c r="A2" s="3" t="s">
        <v>127</v>
      </c>
      <c r="B2" s="3" t="s">
        <v>128</v>
      </c>
      <c r="C2" s="3" t="s">
        <v>129</v>
      </c>
    </row>
    <row r="3" spans="1:3">
      <c r="A3" s="3" t="s">
        <v>127</v>
      </c>
      <c r="B3" s="3" t="s">
        <v>130</v>
      </c>
      <c r="C3" s="3" t="s">
        <v>131</v>
      </c>
    </row>
    <row r="4" spans="1:3">
      <c r="A4" s="3" t="s">
        <v>127</v>
      </c>
      <c r="B4" s="3" t="s">
        <v>132</v>
      </c>
      <c r="C4" s="3" t="s">
        <v>133</v>
      </c>
    </row>
    <row r="5" spans="1:3">
      <c r="A5" s="3" t="s">
        <v>127</v>
      </c>
      <c r="B5" s="3" t="s">
        <v>134</v>
      </c>
      <c r="C5" s="3" t="s">
        <v>135</v>
      </c>
    </row>
    <row r="6" spans="1:3">
      <c r="A6" s="3" t="s">
        <v>127</v>
      </c>
      <c r="B6" s="3" t="s">
        <v>136</v>
      </c>
      <c r="C6" s="3" t="s">
        <v>137</v>
      </c>
    </row>
    <row r="7" spans="1:3">
      <c r="A7" s="3" t="s">
        <v>138</v>
      </c>
      <c r="B7" s="3" t="s">
        <v>128</v>
      </c>
      <c r="C7" s="3" t="s">
        <v>139</v>
      </c>
    </row>
    <row r="8" spans="1:3">
      <c r="A8" s="3" t="s">
        <v>138</v>
      </c>
      <c r="B8" s="3" t="s">
        <v>130</v>
      </c>
      <c r="C8" s="3" t="s">
        <v>140</v>
      </c>
    </row>
    <row r="9" spans="1:3">
      <c r="A9" s="3" t="s">
        <v>138</v>
      </c>
      <c r="B9" s="3" t="s">
        <v>132</v>
      </c>
      <c r="C9" s="3" t="s">
        <v>141</v>
      </c>
    </row>
    <row r="10" spans="1:3">
      <c r="A10" s="3" t="s">
        <v>138</v>
      </c>
      <c r="B10" s="3" t="s">
        <v>134</v>
      </c>
      <c r="C10" s="3" t="s">
        <v>142</v>
      </c>
    </row>
    <row r="11" spans="1:3">
      <c r="A11" s="3" t="s">
        <v>138</v>
      </c>
      <c r="B11" s="3" t="s">
        <v>136</v>
      </c>
      <c r="C11" s="3" t="s">
        <v>143</v>
      </c>
    </row>
    <row r="12" spans="1:3">
      <c r="A12" s="3" t="s">
        <v>10</v>
      </c>
      <c r="B12" s="3" t="s">
        <v>144</v>
      </c>
      <c r="C12" s="3" t="s">
        <v>145</v>
      </c>
    </row>
    <row r="13" spans="1:3" ht="26">
      <c r="A13" s="3" t="s">
        <v>10</v>
      </c>
      <c r="B13" s="3" t="s">
        <v>146</v>
      </c>
      <c r="C13" s="3" t="s">
        <v>147</v>
      </c>
    </row>
    <row r="14" spans="1:3">
      <c r="A14" s="3" t="s">
        <v>10</v>
      </c>
      <c r="B14" s="3" t="s">
        <v>148</v>
      </c>
      <c r="C14" s="3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Register</vt:lpstr>
      <vt:lpstr>Document Info</vt:lpstr>
      <vt:lpstr>Scoring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Wadsworth</cp:lastModifiedBy>
  <dcterms:created xsi:type="dcterms:W3CDTF">2026-04-29T10:48:49Z</dcterms:created>
  <dcterms:modified xsi:type="dcterms:W3CDTF">2026-04-29T11:00:45Z</dcterms:modified>
</cp:coreProperties>
</file>